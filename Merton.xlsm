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uss\Documents\Pierre\Cours\2- Dauphine\3- Modelisation_risques_avances - DiFiQ\2- Atelier\3- GitHub\difiq-2024\"/>
    </mc:Choice>
  </mc:AlternateContent>
  <xr:revisionPtr revIDLastSave="0" documentId="13_ncr:1_{4B72E400-C09C-43A4-9ABA-AD1E4A958AB3}" xr6:coauthVersionLast="47" xr6:coauthVersionMax="47" xr10:uidLastSave="{00000000-0000-0000-0000-000000000000}"/>
  <bookViews>
    <workbookView xWindow="-108" yWindow="-108" windowWidth="23256" windowHeight="12576" xr2:uid="{D34F687D-41E4-405E-9959-9FD167753FE2}"/>
  </bookViews>
  <sheets>
    <sheet name="Merton" sheetId="1" r:id="rId1"/>
  </sheets>
  <definedNames>
    <definedName name="eq_1">Merton!#REF!</definedName>
    <definedName name="eq_2">Merton!#REF!</definedName>
    <definedName name="equation_1">Merton!$H$10</definedName>
    <definedName name="equation_2">Merton!$H$11</definedName>
    <definedName name="inconnues">Merton!$D$10:$D$11</definedName>
    <definedName name="solver_adj" localSheetId="0" hidden="1">Merton!$D$10:$D$11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hs1" localSheetId="0" hidden="1">Merton!$H$11</definedName>
    <definedName name="solver_lhs2" localSheetId="0" hidden="1">Merton!$H$11</definedName>
    <definedName name="solver_lhs3" localSheetId="0" hidden="1">Merton!$H$11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Merton!$H$10</definedName>
    <definedName name="solver_pre" localSheetId="0" hidden="1">0.0000001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variables">Merton!#REF!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D13" i="1" s="1"/>
  <c r="I7" i="1"/>
  <c r="I6" i="1" s="1"/>
  <c r="D14" i="1"/>
  <c r="H5" i="1"/>
  <c r="H6" i="1" s="1"/>
  <c r="H4" i="1"/>
  <c r="H11" i="1" s="1"/>
  <c r="D18" i="1" l="1"/>
  <c r="H10" i="1"/>
  <c r="D17" i="1"/>
</calcChain>
</file>

<file path=xl/sharedStrings.xml><?xml version="1.0" encoding="utf-8"?>
<sst xmlns="http://schemas.openxmlformats.org/spreadsheetml/2006/main" count="27" uniqueCount="26">
  <si>
    <t>T</t>
  </si>
  <si>
    <t>r</t>
  </si>
  <si>
    <t>PD</t>
  </si>
  <si>
    <t>d2</t>
  </si>
  <si>
    <t>d1</t>
  </si>
  <si>
    <t>E_0</t>
  </si>
  <si>
    <t>sigma_E</t>
  </si>
  <si>
    <t>sigma_V</t>
  </si>
  <si>
    <t>V_0</t>
  </si>
  <si>
    <t>D_0</t>
  </si>
  <si>
    <t>r_0</t>
  </si>
  <si>
    <t>spread implicite_0</t>
  </si>
  <si>
    <t>Market value</t>
  </si>
  <si>
    <t>Present value</t>
  </si>
  <si>
    <t>L</t>
  </si>
  <si>
    <t>equation_1</t>
  </si>
  <si>
    <t>equation_2</t>
  </si>
  <si>
    <t>DD</t>
  </si>
  <si>
    <t>Risque neutre</t>
  </si>
  <si>
    <t>Historique</t>
  </si>
  <si>
    <t>Rdt espéré des actifs (ROE)</t>
  </si>
  <si>
    <t>Levier</t>
  </si>
  <si>
    <t>équations</t>
  </si>
  <si>
    <t>Paramètres</t>
  </si>
  <si>
    <t>Exemple inspiré de Hull 22.1 page 507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</si>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</sst>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11</xdr:row>
          <xdr:rowOff>106680</xdr:rowOff>
        </xdr:from>
        <xdr:to>
          <xdr:col>7</xdr:col>
          <xdr:colOff>868680</xdr:colOff>
          <xdr:row>14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Résolution équations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76A5-BC23-4329-9AAB-7070C10FE5FE}">
  <sheetPr codeName="Feuil1"/>
  <dimension ref="B1:K20"/>
  <sheetViews>
    <sheetView tabSelected="1" workbookViewId="0">
      <selection activeCell="H6" sqref="H6"/>
    </sheetView>
  </sheetViews>
  <sheetFormatPr baseColWidth="10" defaultRowHeight="14.4" x14ac:dyDescent="0.3"/>
  <cols>
    <col min="2" max="2" width="12.5546875" bestFit="1" customWidth="1"/>
    <col min="3" max="3" width="25" bestFit="1" customWidth="1"/>
    <col min="6" max="6" width="13.6640625" bestFit="1" customWidth="1"/>
    <col min="8" max="8" width="13.44140625" bestFit="1" customWidth="1"/>
  </cols>
  <sheetData>
    <row r="1" spans="2:11" x14ac:dyDescent="0.3">
      <c r="D1" s="1"/>
    </row>
    <row r="2" spans="2:11" x14ac:dyDescent="0.3">
      <c r="C2" s="8" t="s">
        <v>24</v>
      </c>
    </row>
    <row r="3" spans="2:11" x14ac:dyDescent="0.3">
      <c r="C3" s="4" t="s">
        <v>5</v>
      </c>
      <c r="D3" s="4">
        <v>3</v>
      </c>
      <c r="H3" s="6" t="s">
        <v>18</v>
      </c>
      <c r="I3" s="6" t="s">
        <v>19</v>
      </c>
      <c r="J3" s="2"/>
    </row>
    <row r="4" spans="2:11" x14ac:dyDescent="0.3">
      <c r="C4" s="4" t="s">
        <v>6</v>
      </c>
      <c r="D4" s="5">
        <v>0.8</v>
      </c>
      <c r="G4" t="s">
        <v>4</v>
      </c>
      <c r="H4" s="3">
        <f>((D7+D10^2/2)*D6+LN(D11/D5))/(D10*SQRT(D6))</f>
        <v>1.3531302883252141</v>
      </c>
      <c r="K4" s="7"/>
    </row>
    <row r="5" spans="2:11" x14ac:dyDescent="0.3">
      <c r="C5" s="4" t="s">
        <v>25</v>
      </c>
      <c r="D5" s="4">
        <v>10</v>
      </c>
      <c r="G5" t="s">
        <v>3</v>
      </c>
      <c r="H5" s="3">
        <f>((D7-D10^2/2)*D6+LN(D11/D5))/(D10*SQRT(D6))</f>
        <v>1.1408255649552463</v>
      </c>
    </row>
    <row r="6" spans="2:11" x14ac:dyDescent="0.3">
      <c r="C6" s="4" t="s">
        <v>0</v>
      </c>
      <c r="D6" s="4">
        <v>1</v>
      </c>
      <c r="G6" t="s">
        <v>2</v>
      </c>
      <c r="H6" s="1">
        <f>_xlfn.NORM.S.DIST(-H5,TRUE)</f>
        <v>0.12697125987059943</v>
      </c>
      <c r="I6" s="1">
        <f>_xlfn.NORM.S.DIST(-I7,TRUE)</f>
        <v>0.10840971039477108</v>
      </c>
      <c r="K6" s="1"/>
    </row>
    <row r="7" spans="2:11" x14ac:dyDescent="0.3">
      <c r="C7" s="4" t="s">
        <v>1</v>
      </c>
      <c r="D7" s="5">
        <v>0.05</v>
      </c>
      <c r="G7" t="s">
        <v>17</v>
      </c>
      <c r="H7" s="3"/>
      <c r="I7" s="3">
        <f>((D8-D10^2/2)*D6+LN(D11/D5))/(D10*SQRT(D6))</f>
        <v>1.2350297808696866</v>
      </c>
      <c r="K7" s="1"/>
    </row>
    <row r="8" spans="2:11" x14ac:dyDescent="0.3">
      <c r="C8" s="4" t="s">
        <v>20</v>
      </c>
      <c r="D8" s="5">
        <v>7.0000000000000007E-2</v>
      </c>
      <c r="H8" s="3"/>
      <c r="I8" s="3"/>
      <c r="K8" s="1"/>
    </row>
    <row r="9" spans="2:11" x14ac:dyDescent="0.3">
      <c r="K9" s="1"/>
    </row>
    <row r="10" spans="2:11" x14ac:dyDescent="0.3">
      <c r="B10" s="2" t="s">
        <v>23</v>
      </c>
      <c r="C10" t="s">
        <v>7</v>
      </c>
      <c r="D10" s="1">
        <v>0.21230472336996781</v>
      </c>
      <c r="G10" t="s">
        <v>15</v>
      </c>
      <c r="H10" s="3">
        <f>D11*_xlfn.NORM.S.DIST(H4,TRUE)-D5*EXP(-D7*D6)*_xlfn.NORM.S.DIST(H5,TRUE)-D3</f>
        <v>-4.5055454478415413E-8</v>
      </c>
      <c r="K10" s="1"/>
    </row>
    <row r="11" spans="2:11" x14ac:dyDescent="0.3">
      <c r="B11" s="2" t="s">
        <v>22</v>
      </c>
      <c r="C11" t="s">
        <v>8</v>
      </c>
      <c r="D11" s="3">
        <v>12.395387117645406</v>
      </c>
      <c r="G11" t="s">
        <v>16</v>
      </c>
      <c r="H11" s="3">
        <f>D10*D11/D3*_xlfn.NORM.S.DIST(H4,TRUE)-D4</f>
        <v>2.1631758051476879E-8</v>
      </c>
      <c r="K11" s="1"/>
    </row>
    <row r="12" spans="2:11" x14ac:dyDescent="0.3">
      <c r="K12" s="1"/>
    </row>
    <row r="13" spans="2:11" x14ac:dyDescent="0.3">
      <c r="B13" s="2" t="s">
        <v>21</v>
      </c>
      <c r="C13" t="s">
        <v>14</v>
      </c>
      <c r="D13" s="1">
        <f>D15/D11</f>
        <v>0.76740598375229041</v>
      </c>
      <c r="K13" s="1"/>
    </row>
    <row r="14" spans="2:11" x14ac:dyDescent="0.3">
      <c r="B14" s="2" t="s">
        <v>12</v>
      </c>
      <c r="C14" t="s">
        <v>9</v>
      </c>
      <c r="D14" s="3">
        <f>D11-D3</f>
        <v>9.3953871176454058</v>
      </c>
      <c r="K14" s="1"/>
    </row>
    <row r="15" spans="2:11" x14ac:dyDescent="0.3">
      <c r="B15" s="2" t="s">
        <v>13</v>
      </c>
      <c r="C15" t="s">
        <v>9</v>
      </c>
      <c r="D15" s="3">
        <f>D5*EXP(-D7*D6)</f>
        <v>9.5122942450071406</v>
      </c>
      <c r="K15" s="1"/>
    </row>
    <row r="17" spans="3:6" x14ac:dyDescent="0.3">
      <c r="C17" t="s">
        <v>10</v>
      </c>
      <c r="D17" s="1">
        <f>1/D6*LN(D5/D14)</f>
        <v>6.2366256331905769E-2</v>
      </c>
    </row>
    <row r="18" spans="3:6" x14ac:dyDescent="0.3">
      <c r="C18" t="s">
        <v>11</v>
      </c>
      <c r="D18" s="1">
        <f>-LN(_xlfn.NORM.S.DIST(H5,TRUE)+_xlfn.NORM.S.DIST(-H4,TRUE)/D13)/D6</f>
        <v>1.2366251536418954E-2</v>
      </c>
    </row>
    <row r="19" spans="3:6" x14ac:dyDescent="0.3">
      <c r="F19" s="3"/>
    </row>
    <row r="20" spans="3:6" x14ac:dyDescent="0.3">
      <c r="F20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1">
                <anchor moveWithCells="1" sizeWithCells="1">
                  <from>
                    <xdr:col>6</xdr:col>
                    <xdr:colOff>30480</xdr:colOff>
                    <xdr:row>11</xdr:row>
                    <xdr:rowOff>106680</xdr:rowOff>
                  </from>
                  <to>
                    <xdr:col>7</xdr:col>
                    <xdr:colOff>868680</xdr:colOff>
                    <xdr:row>14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Merton</vt:lpstr>
      <vt:lpstr>equation_1</vt:lpstr>
      <vt:lpstr>equation_2</vt:lpstr>
      <vt:lpstr>inconnues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</dc:creator>
  <cp:lastModifiedBy>Anne Clauss</cp:lastModifiedBy>
  <dcterms:created xsi:type="dcterms:W3CDTF">2023-02-21T17:49:36Z</dcterms:created>
  <dcterms:modified xsi:type="dcterms:W3CDTF">2024-03-22T15:31:37Z</dcterms:modified>
</cp:coreProperties>
</file>